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Monthly Cost Model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<sst xmlns="http://schemas.openxmlformats.org/spreadsheetml/2006/main" count="131" uniqueCount="117">
  <si>
    <t xml:space="preserve">API Pricing (per 1M tokens)</t>
  </si>
  <si>
    <t xml:space="preserve">Model</t>
  </si>
  <si>
    <t xml:space="preserve">Input</t>
  </si>
  <si>
    <t xml:space="preserve">Output</t>
  </si>
  <si>
    <t xml:space="preserve">Notes</t>
  </si>
  <si>
    <t xml:space="preserve">Haiku 4.5</t>
  </si>
  <si>
    <t xml:space="preserve">Fast lookups, entity extraction, quick reference</t>
  </si>
  <si>
    <t xml:space="preserve">Sonnet 4.6</t>
  </si>
  <si>
    <t xml:space="preserve">Creative generation, prep briefs, recaps, analysis</t>
  </si>
  <si>
    <t xml:space="preserve">OpenAI text-embedding-3-small</t>
  </si>
  <si>
    <t xml:space="preserve">n/a</t>
  </si>
  <si>
    <t xml:space="preserve">Embedding only (input tokens only, no output)</t>
  </si>
  <si>
    <t xml:space="preserve">Prompt caching discount (cache hits)</t>
  </si>
  <si>
    <t xml:space="preserve">Cache hits cost 10% of base input price (5-min TTL)</t>
  </si>
  <si>
    <t xml:space="preserve">Batch API discount</t>
  </si>
  <si>
    <t xml:space="preserve">50% discount for non-urgent processing (24hr window)</t>
  </si>
  <si>
    <t xml:space="preserve">Usage Pattern Assumptions</t>
  </si>
  <si>
    <t xml:space="preserve">Sessions per month</t>
  </si>
  <si>
    <t xml:space="preserve">2-3 per month, averaging 2.5</t>
  </si>
  <si>
    <t xml:space="preserve">Prep sessions per play session</t>
  </si>
  <si>
    <t xml:space="preserve">1 planning session before each game</t>
  </si>
  <si>
    <t xml:space="preserve">Initial import size (pages)</t>
  </si>
  <si>
    <t xml:space="preserve">Light: session logs + some homebrew notes</t>
  </si>
  <si>
    <t xml:space="preserve">Tokens per page (avg)</t>
  </si>
  <si>
    <t xml:space="preserve">~500 tokens per standard page of text</t>
  </si>
  <si>
    <t xml:space="preserve">New content per session (pages)</t>
  </si>
  <si>
    <t xml:space="preserve">Session notes + entity updates</t>
  </si>
  <si>
    <t xml:space="preserve">Token Estimates Per Operation</t>
  </si>
  <si>
    <t xml:space="preserve">Operation</t>
  </si>
  <si>
    <t xml:space="preserve">Input Tokens</t>
  </si>
  <si>
    <t xml:space="preserve">Output Tokens</t>
  </si>
  <si>
    <t xml:space="preserve">Model / Notes</t>
  </si>
  <si>
    <t xml:space="preserve">Agent chat — quick recall (mid-session)</t>
  </si>
  <si>
    <t xml:space="preserve">Haiku — system prompt + retrieved chunks + short answer</t>
  </si>
  <si>
    <t xml:space="preserve">Agent chat — creative/analytical (prep)</t>
  </si>
  <si>
    <t xml:space="preserve">Sonnet — larger context window, longer generation</t>
  </si>
  <si>
    <t xml:space="preserve">Session prep brief generation</t>
  </si>
  <si>
    <t xml:space="preserve">Sonnet — pulls from multiple sessions, generates structured brief</t>
  </si>
  <si>
    <t xml:space="preserve">Player recap generation</t>
  </si>
  <si>
    <t xml:space="preserve">Sonnet — session log context + style-aware generation</t>
  </si>
  <si>
    <t xml:space="preserve">Entity extraction from session log</t>
  </si>
  <si>
    <t xml:space="preserve">Haiku — NER pass over new session notes</t>
  </si>
  <si>
    <t xml:space="preserve">Entity summary update</t>
  </si>
  <si>
    <t xml:space="preserve">Haiku — update entity page with new context</t>
  </si>
  <si>
    <t xml:space="preserve">Quick reference lookup</t>
  </si>
  <si>
    <t xml:space="preserve">Haiku — spell/rule card, minimal generation</t>
  </si>
  <si>
    <t xml:space="preserve">Style profile extraction</t>
  </si>
  <si>
    <t xml:space="preserve">Sonnet — one-time analysis of writing samples</t>
  </si>
  <si>
    <t xml:space="preserve">Embedding (per page of content)</t>
  </si>
  <si>
    <t xml:space="preserve">Embedding model — input only</t>
  </si>
  <si>
    <t xml:space="preserve">Monthly Token Usage &amp; Cost — Per Play Session Cycle</t>
  </si>
  <si>
    <t xml:space="preserve">One cycle = 1 prep session + 1 play session + post-session processing. Multiply by sessions/month for total.</t>
  </si>
  <si>
    <t xml:space="preserve">Activity</t>
  </si>
  <si>
    <t xml:space="preserve">Count</t>
  </si>
  <si>
    <t xml:space="preserve">Input Tok/ea</t>
  </si>
  <si>
    <t xml:space="preserve">Output Tok/ea</t>
  </si>
  <si>
    <t xml:space="preserve">Total Input</t>
  </si>
  <si>
    <t xml:space="preserve">Total Output</t>
  </si>
  <si>
    <t xml:space="preserve">Cost</t>
  </si>
  <si>
    <t xml:space="preserve">PREP SESSION</t>
  </si>
  <si>
    <t xml:space="preserve">Generate session prep brief</t>
  </si>
  <si>
    <t xml:space="preserve">Sonnet</t>
  </si>
  <si>
    <t xml:space="preserve">Agent chat — creative/analytical queries</t>
  </si>
  <si>
    <t xml:space="preserve">Agent chat — quick lookups during prep</t>
  </si>
  <si>
    <t xml:space="preserve">Haiku</t>
  </si>
  <si>
    <t xml:space="preserve">AT THE TABLE (3-4hr session)</t>
  </si>
  <si>
    <t xml:space="preserve">Agent chat — quick recall mid-session</t>
  </si>
  <si>
    <t xml:space="preserve">Quick reference lookups (spells, rules)</t>
  </si>
  <si>
    <t xml:space="preserve">Agent chat — creative (improv assist)</t>
  </si>
  <si>
    <t xml:space="preserve">POST-SESSION PROCESSING</t>
  </si>
  <si>
    <t xml:space="preserve">Entity extraction from session notes</t>
  </si>
  <si>
    <t xml:space="preserve">Entity summary updates</t>
  </si>
  <si>
    <t xml:space="preserve">Embed new session content (~3 pages)</t>
  </si>
  <si>
    <t xml:space="preserve">Embedding</t>
  </si>
  <si>
    <t xml:space="preserve">ONE-TIME: INITIAL IMPORT</t>
  </si>
  <si>
    <t xml:space="preserve">Embed initial campaign material (50 pages)</t>
  </si>
  <si>
    <t xml:space="preserve">Entity extraction from imported docs</t>
  </si>
  <si>
    <t xml:space="preserve">Style profile extraction (one-time)</t>
  </si>
  <si>
    <t xml:space="preserve">PER-CYCLE SUBTOTAL (1 prep + 1 session)</t>
  </si>
  <si>
    <t xml:space="preserve">ONE-TIME IMPORT COST</t>
  </si>
  <si>
    <t xml:space="preserve">QuestLog API Cost Summary</t>
  </si>
  <si>
    <t xml:space="preserve">Metric</t>
  </si>
  <si>
    <t xml:space="preserve">Value</t>
  </si>
  <si>
    <t xml:space="preserve">Cost per session cycle (prep + play + post)</t>
  </si>
  <si>
    <t xml:space="preserve">No caching or batch discounts applied</t>
  </si>
  <si>
    <t xml:space="preserve">MONTHLY RECURRING COST</t>
  </si>
  <si>
    <t xml:space="preserve">Base cost without optimizations</t>
  </si>
  <si>
    <t xml:space="preserve">ANNUAL RECURRING COST</t>
  </si>
  <si>
    <t xml:space="preserve">One-time import cost</t>
  </si>
  <si>
    <t xml:space="preserve">Initial 50-page import + entity extraction + style profile</t>
  </si>
  <si>
    <t xml:space="preserve">FIRST YEAR TOTAL COST</t>
  </si>
  <si>
    <t xml:space="preserve">With Prompt Caching (Estimated Savings)</t>
  </si>
  <si>
    <t xml:space="preserve">Estimated cacheable input % (system prompts, entity context)</t>
  </si>
  <si>
    <t xml:space="preserve">System prompt + frequently accessed entities are cacheable</t>
  </si>
  <si>
    <t xml:space="preserve">Effective input cost multiplier with caching</t>
  </si>
  <si>
    <t xml:space="preserve">Uncached portion at full price + cached portion at 10%</t>
  </si>
  <si>
    <t xml:space="preserve">MONTHLY COST WITH CACHING</t>
  </si>
  <si>
    <t xml:space="preserve">Conservative estimate — actual savings depend on usage patterns</t>
  </si>
  <si>
    <t xml:space="preserve">ANNUAL COST WITH CACHING</t>
  </si>
  <si>
    <t xml:space="preserve">Scaling Scenarios</t>
  </si>
  <si>
    <t xml:space="preserve">Scenario</t>
  </si>
  <si>
    <t xml:space="preserve">Monthly</t>
  </si>
  <si>
    <t xml:space="preserve">Annual</t>
  </si>
  <si>
    <t xml:space="preserve">Description</t>
  </si>
  <si>
    <t xml:space="preserve">Light use (your current plan)</t>
  </si>
  <si>
    <t xml:space="preserve">2-3 sessions/mo, ~50 pages imported, caching on</t>
  </si>
  <si>
    <t xml:space="preserve">Medium use (weekly sessions)</t>
  </si>
  <si>
    <t xml:space="preserve">4 sessions/mo, same usage pattern per session</t>
  </si>
  <si>
    <t xml:space="preserve">Heavy use (weekly + 300pg import)</t>
  </si>
  <si>
    <t xml:space="preserve">4 sessions/mo, heavier agent use, larger context windows</t>
  </si>
  <si>
    <t xml:space="preserve">Model Recommendation</t>
  </si>
  <si>
    <t xml:space="preserve">Recommended approach: Haiku + Sonnet mix</t>
  </si>
  <si>
    <t xml:space="preserve">Haiku 4.5 for: quick recall, entity extraction, lookups, NER</t>
  </si>
  <si>
    <t xml:space="preserve">Sonnet 4.6 for: creative generation, prep briefs, recaps, analysis</t>
  </si>
  <si>
    <t xml:space="preserve">Rationale: Haiku is 3x cheaper and fast enough for mid-session use.</t>
  </si>
  <si>
    <t xml:space="preserve">Sonnet quality matters for creative output the DM actually reads.</t>
  </si>
  <si>
    <t xml:space="preserve">Using Haiku everywhere would save ~40% but noticeably degrade prep briefs and recaps.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</si>
</sst>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.00"/>
    <numFmt numFmtId="166" formatCode="0%"/>
    <numFmt numFmtId="167" formatCode="0.0"/>
    <numFmt numFmtId="168" formatCode="0"/>
    <numFmt numFmtId="169" formatCode="#,##0"/>
    <numFmt numFmtId="170" formatCode="\$#,##0.000"/>
    <numFmt numFmtId="171" formatCode="0.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2F5496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2"/>
      <color rgb="FF008000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b val="true"/>
      <sz val="10"/>
      <color rgb="FF2F5496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F5496"/>
        <bgColor rgb="FF4472C4"/>
      </patternFill>
    </fill>
    <fill>
      <patternFill patternType="solid">
        <fgColor rgb="FF548235"/>
        <bgColor rgb="FF666666"/>
      </patternFill>
    </fill>
    <fill>
      <patternFill patternType="solid">
        <fgColor rgb="FFE2EFDA"/>
        <bgColor rgb="FFD9E2F3"/>
      </patternFill>
    </fill>
    <fill>
      <patternFill patternType="solid">
        <fgColor rgb="FFBF8F00"/>
        <bgColor rgb="FFFF6600"/>
      </patternFill>
    </fill>
    <fill>
      <patternFill patternType="solid">
        <fgColor rgb="FFFFF2CC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E2F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BF8F00"/>
      <rgbColor rgb="FFFF6600"/>
      <rgbColor rgb="FF666666"/>
      <rgbColor rgb="FF70AD47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D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50"/>
  </cols>
  <sheetData>
    <row r="1" customFormat="false" ht="15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</row>
    <row r="3" customFormat="false" ht="15" hidden="false" customHeight="false" outlineLevel="0" collapsed="false">
      <c r="A3" s="3" t="s">
        <v>5</v>
      </c>
      <c r="B3" s="4" t="n">
        <v>1</v>
      </c>
      <c r="C3" s="4" t="n">
        <v>5</v>
      </c>
      <c r="D3" s="5" t="s">
        <v>6</v>
      </c>
    </row>
    <row r="4" customFormat="false" ht="15" hidden="false" customHeight="false" outlineLevel="0" collapsed="false">
      <c r="A4" s="3" t="s">
        <v>7</v>
      </c>
      <c r="B4" s="4" t="n">
        <v>3</v>
      </c>
      <c r="C4" s="4" t="n">
        <v>15</v>
      </c>
      <c r="D4" s="5" t="s">
        <v>8</v>
      </c>
    </row>
    <row r="5" customFormat="false" ht="15" hidden="false" customHeight="false" outlineLevel="0" collapsed="false">
      <c r="A5" s="3" t="s">
        <v>9</v>
      </c>
      <c r="B5" s="4" t="n">
        <v>0.02</v>
      </c>
      <c r="C5" s="3" t="s">
        <v>10</v>
      </c>
      <c r="D5" s="5" t="s">
        <v>11</v>
      </c>
    </row>
    <row r="6" customFormat="false" ht="15" hidden="false" customHeight="false" outlineLevel="0" collapsed="false">
      <c r="A6" s="3" t="s">
        <v>12</v>
      </c>
      <c r="B6" s="6" t="n">
        <v>0.1</v>
      </c>
      <c r="C6" s="3"/>
      <c r="D6" s="5" t="s">
        <v>13</v>
      </c>
    </row>
    <row r="7" customFormat="false" ht="15" hidden="false" customHeight="false" outlineLevel="0" collapsed="false">
      <c r="A7" s="3" t="s">
        <v>14</v>
      </c>
      <c r="B7" s="6" t="n">
        <v>0.5</v>
      </c>
      <c r="C7" s="3"/>
      <c r="D7" s="5" t="s">
        <v>15</v>
      </c>
    </row>
    <row r="9" customFormat="false" ht="15" hidden="false" customHeight="false" outlineLevel="0" collapsed="false">
      <c r="A9" s="1" t="s">
        <v>16</v>
      </c>
      <c r="B9" s="1"/>
      <c r="C9" s="1"/>
      <c r="D9" s="1"/>
    </row>
    <row r="10" customFormat="false" ht="15" hidden="false" customHeight="false" outlineLevel="0" collapsed="false">
      <c r="A10" s="3" t="s">
        <v>17</v>
      </c>
      <c r="B10" s="7" t="n">
        <v>2.5</v>
      </c>
      <c r="D10" s="5" t="s">
        <v>18</v>
      </c>
    </row>
    <row r="11" customFormat="false" ht="15" hidden="false" customHeight="false" outlineLevel="0" collapsed="false">
      <c r="A11" s="3" t="s">
        <v>19</v>
      </c>
      <c r="B11" s="8" t="n">
        <v>1</v>
      </c>
      <c r="D11" s="5" t="s">
        <v>20</v>
      </c>
    </row>
    <row r="12" customFormat="false" ht="15" hidden="false" customHeight="false" outlineLevel="0" collapsed="false">
      <c r="A12" s="3" t="s">
        <v>21</v>
      </c>
      <c r="B12" s="9" t="n">
        <v>50</v>
      </c>
      <c r="D12" s="5" t="s">
        <v>22</v>
      </c>
    </row>
    <row r="13" customFormat="false" ht="15" hidden="false" customHeight="false" outlineLevel="0" collapsed="false">
      <c r="A13" s="3" t="s">
        <v>23</v>
      </c>
      <c r="B13" s="9" t="n">
        <v>500</v>
      </c>
      <c r="D13" s="5" t="s">
        <v>24</v>
      </c>
    </row>
    <row r="14" customFormat="false" ht="15" hidden="false" customHeight="false" outlineLevel="0" collapsed="false">
      <c r="A14" s="3" t="s">
        <v>25</v>
      </c>
      <c r="B14" s="9" t="n">
        <v>3</v>
      </c>
      <c r="D14" s="5" t="s">
        <v>26</v>
      </c>
    </row>
    <row r="16" customFormat="false" ht="15" hidden="false" customHeight="false" outlineLevel="0" collapsed="false">
      <c r="A16" s="1" t="s">
        <v>27</v>
      </c>
      <c r="B16" s="1"/>
      <c r="C16" s="1"/>
      <c r="D16" s="1"/>
    </row>
    <row r="17" customFormat="false" ht="15" hidden="false" customHeight="false" outlineLevel="0" collapsed="false">
      <c r="A17" s="2" t="s">
        <v>28</v>
      </c>
      <c r="B17" s="2" t="s">
        <v>29</v>
      </c>
      <c r="C17" s="2" t="s">
        <v>30</v>
      </c>
      <c r="D17" s="2" t="s">
        <v>31</v>
      </c>
    </row>
    <row r="18" customFormat="false" ht="15" hidden="false" customHeight="false" outlineLevel="0" collapsed="false">
      <c r="A18" s="3" t="s">
        <v>32</v>
      </c>
      <c r="B18" s="9" t="n">
        <v>3000</v>
      </c>
      <c r="C18" s="9" t="n">
        <v>300</v>
      </c>
      <c r="D18" s="5" t="s">
        <v>33</v>
      </c>
    </row>
    <row r="19" customFormat="false" ht="15" hidden="false" customHeight="false" outlineLevel="0" collapsed="false">
      <c r="A19" s="3" t="s">
        <v>34</v>
      </c>
      <c r="B19" s="9" t="n">
        <v>6000</v>
      </c>
      <c r="C19" s="9" t="n">
        <v>1500</v>
      </c>
      <c r="D19" s="5" t="s">
        <v>35</v>
      </c>
    </row>
    <row r="20" customFormat="false" ht="15" hidden="false" customHeight="false" outlineLevel="0" collapsed="false">
      <c r="A20" s="3" t="s">
        <v>36</v>
      </c>
      <c r="B20" s="9" t="n">
        <v>8000</v>
      </c>
      <c r="C20" s="9" t="n">
        <v>2000</v>
      </c>
      <c r="D20" s="5" t="s">
        <v>37</v>
      </c>
    </row>
    <row r="21" customFormat="false" ht="15" hidden="false" customHeight="false" outlineLevel="0" collapsed="false">
      <c r="A21" s="3" t="s">
        <v>38</v>
      </c>
      <c r="B21" s="9" t="n">
        <v>5000</v>
      </c>
      <c r="C21" s="9" t="n">
        <v>1000</v>
      </c>
      <c r="D21" s="5" t="s">
        <v>39</v>
      </c>
    </row>
    <row r="22" customFormat="false" ht="15" hidden="false" customHeight="false" outlineLevel="0" collapsed="false">
      <c r="A22" s="3" t="s">
        <v>40</v>
      </c>
      <c r="B22" s="9" t="n">
        <v>2000</v>
      </c>
      <c r="C22" s="9" t="n">
        <v>500</v>
      </c>
      <c r="D22" s="5" t="s">
        <v>41</v>
      </c>
    </row>
    <row r="23" customFormat="false" ht="15" hidden="false" customHeight="false" outlineLevel="0" collapsed="false">
      <c r="A23" s="3" t="s">
        <v>42</v>
      </c>
      <c r="B23" s="9" t="n">
        <v>1500</v>
      </c>
      <c r="C23" s="9" t="n">
        <v>400</v>
      </c>
      <c r="D23" s="5" t="s">
        <v>43</v>
      </c>
    </row>
    <row r="24" customFormat="false" ht="15" hidden="false" customHeight="false" outlineLevel="0" collapsed="false">
      <c r="A24" s="3" t="s">
        <v>44</v>
      </c>
      <c r="B24" s="9" t="n">
        <v>2000</v>
      </c>
      <c r="C24" s="9" t="n">
        <v>200</v>
      </c>
      <c r="D24" s="5" t="s">
        <v>45</v>
      </c>
    </row>
    <row r="25" customFormat="false" ht="15" hidden="false" customHeight="false" outlineLevel="0" collapsed="false">
      <c r="A25" s="3" t="s">
        <v>46</v>
      </c>
      <c r="B25" s="9" t="n">
        <v>4000</v>
      </c>
      <c r="C25" s="9" t="n">
        <v>800</v>
      </c>
      <c r="D25" s="5" t="s">
        <v>47</v>
      </c>
    </row>
    <row r="26" customFormat="false" ht="15" hidden="false" customHeight="false" outlineLevel="0" collapsed="false">
      <c r="A26" s="3" t="s">
        <v>48</v>
      </c>
      <c r="B26" s="9" t="n">
        <v>500</v>
      </c>
      <c r="C26" s="9" t="n">
        <v>0</v>
      </c>
      <c r="D26" s="5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4" min="3" style="0" width="16"/>
    <col collapsed="false" customWidth="true" hidden="false" outlineLevel="0" max="6" min="5" style="0" width="14"/>
    <col collapsed="false" customWidth="true" hidden="false" outlineLevel="0" max="7" min="7" style="0" width="16"/>
    <col collapsed="false" customWidth="true" hidden="false" outlineLevel="0" max="8" min="8" style="0" width="14"/>
  </cols>
  <sheetData>
    <row r="1" customFormat="false" ht="15" hidden="false" customHeight="false" outlineLevel="0" collapsed="false">
      <c r="A1" s="10" t="s">
        <v>50</v>
      </c>
      <c r="B1" s="10"/>
      <c r="C1" s="10"/>
      <c r="D1" s="10"/>
      <c r="E1" s="10"/>
      <c r="F1" s="10"/>
      <c r="G1" s="10"/>
      <c r="H1" s="10"/>
    </row>
    <row r="2" customFormat="false" ht="15" hidden="false" customHeight="false" outlineLevel="0" collapsed="false">
      <c r="A2" s="5" t="s">
        <v>51</v>
      </c>
    </row>
    <row r="4" customFormat="false" ht="15" hidden="false" customHeight="false" outlineLevel="0" collapsed="false">
      <c r="A4" s="11" t="s">
        <v>52</v>
      </c>
      <c r="B4" s="11" t="s">
        <v>53</v>
      </c>
      <c r="C4" s="11" t="s">
        <v>54</v>
      </c>
      <c r="D4" s="11" t="s">
        <v>55</v>
      </c>
      <c r="E4" s="11" t="s">
        <v>56</v>
      </c>
      <c r="F4" s="11" t="s">
        <v>57</v>
      </c>
      <c r="G4" s="11" t="s">
        <v>1</v>
      </c>
      <c r="H4" s="11" t="s">
        <v>58</v>
      </c>
    </row>
    <row r="5" customFormat="false" ht="15" hidden="false" customHeight="false" outlineLevel="0" collapsed="false">
      <c r="A5" s="12" t="s">
        <v>59</v>
      </c>
    </row>
    <row r="6" customFormat="false" ht="15" hidden="false" customHeight="false" outlineLevel="0" collapsed="false">
      <c r="A6" s="3" t="s">
        <v>60</v>
      </c>
      <c r="B6" s="9" t="n">
        <v>1</v>
      </c>
      <c r="C6" s="13" t="n">
        <v>8000</v>
      </c>
      <c r="D6" s="13" t="n">
        <v>2000</v>
      </c>
      <c r="E6" s="13" t="n">
        <f aca="false">B6*C6</f>
        <v>8000</v>
      </c>
      <c r="F6" s="13" t="n">
        <f aca="false">B6*D6</f>
        <v>2000</v>
      </c>
      <c r="G6" s="3" t="s">
        <v>61</v>
      </c>
      <c r="H6" s="14" t="n">
        <f aca="false">(E6/1000000)*Assumptions!B4 + (F6/1000000)*Assumptions!C4</f>
        <v>0.054</v>
      </c>
    </row>
    <row r="7" customFormat="false" ht="15" hidden="false" customHeight="false" outlineLevel="0" collapsed="false">
      <c r="A7" s="3" t="s">
        <v>62</v>
      </c>
      <c r="B7" s="9" t="n">
        <v>8</v>
      </c>
      <c r="C7" s="13" t="n">
        <v>6000</v>
      </c>
      <c r="D7" s="13" t="n">
        <v>1500</v>
      </c>
      <c r="E7" s="13" t="n">
        <f aca="false">B7*C7</f>
        <v>48000</v>
      </c>
      <c r="F7" s="13" t="n">
        <f aca="false">B7*D7</f>
        <v>12000</v>
      </c>
      <c r="G7" s="3" t="s">
        <v>61</v>
      </c>
      <c r="H7" s="14" t="n">
        <f aca="false">(E7/1000000)*Assumptions!B4 + (F7/1000000)*Assumptions!C4</f>
        <v>0.324</v>
      </c>
    </row>
    <row r="8" customFormat="false" ht="15" hidden="false" customHeight="false" outlineLevel="0" collapsed="false">
      <c r="A8" s="3" t="s">
        <v>63</v>
      </c>
      <c r="B8" s="9" t="n">
        <v>4</v>
      </c>
      <c r="C8" s="13" t="n">
        <v>3000</v>
      </c>
      <c r="D8" s="13" t="n">
        <v>300</v>
      </c>
      <c r="E8" s="13" t="n">
        <f aca="false">B8*C8</f>
        <v>12000</v>
      </c>
      <c r="F8" s="13" t="n">
        <f aca="false">B8*D8</f>
        <v>1200</v>
      </c>
      <c r="G8" s="3" t="s">
        <v>64</v>
      </c>
      <c r="H8" s="14" t="n">
        <f aca="false">(E8/1000000)*Assumptions!B3 + (F8/1000000)*Assumptions!C3</f>
        <v>0.018</v>
      </c>
    </row>
    <row r="10" customFormat="false" ht="15" hidden="false" customHeight="false" outlineLevel="0" collapsed="false">
      <c r="A10" s="12" t="s">
        <v>65</v>
      </c>
    </row>
    <row r="11" customFormat="false" ht="15" hidden="false" customHeight="false" outlineLevel="0" collapsed="false">
      <c r="A11" s="3" t="s">
        <v>66</v>
      </c>
      <c r="B11" s="9" t="n">
        <v>12</v>
      </c>
      <c r="C11" s="13" t="n">
        <v>3000</v>
      </c>
      <c r="D11" s="13" t="n">
        <v>300</v>
      </c>
      <c r="E11" s="13" t="n">
        <f aca="false">B11*C11</f>
        <v>36000</v>
      </c>
      <c r="F11" s="13" t="n">
        <f aca="false">B11*D11</f>
        <v>3600</v>
      </c>
      <c r="G11" s="3" t="s">
        <v>64</v>
      </c>
      <c r="H11" s="14" t="n">
        <f aca="false">(E11/1000000)*Assumptions!B3 + (F11/1000000)*Assumptions!C3</f>
        <v>0.054</v>
      </c>
    </row>
    <row r="12" customFormat="false" ht="15" hidden="false" customHeight="false" outlineLevel="0" collapsed="false">
      <c r="A12" s="3" t="s">
        <v>67</v>
      </c>
      <c r="B12" s="9" t="n">
        <v>6</v>
      </c>
      <c r="C12" s="13" t="n">
        <v>2000</v>
      </c>
      <c r="D12" s="13" t="n">
        <v>200</v>
      </c>
      <c r="E12" s="13" t="n">
        <f aca="false">B12*C12</f>
        <v>12000</v>
      </c>
      <c r="F12" s="13" t="n">
        <f aca="false">B12*D12</f>
        <v>1200</v>
      </c>
      <c r="G12" s="3" t="s">
        <v>64</v>
      </c>
      <c r="H12" s="14" t="n">
        <f aca="false">(E12/1000000)*Assumptions!B3 + (F12/1000000)*Assumptions!C3</f>
        <v>0.018</v>
      </c>
    </row>
    <row r="13" customFormat="false" ht="15" hidden="false" customHeight="false" outlineLevel="0" collapsed="false">
      <c r="A13" s="3" t="s">
        <v>68</v>
      </c>
      <c r="B13" s="9" t="n">
        <v>3</v>
      </c>
      <c r="C13" s="13" t="n">
        <v>6000</v>
      </c>
      <c r="D13" s="13" t="n">
        <v>1500</v>
      </c>
      <c r="E13" s="13" t="n">
        <f aca="false">B13*C13</f>
        <v>18000</v>
      </c>
      <c r="F13" s="13" t="n">
        <f aca="false">B13*D13</f>
        <v>4500</v>
      </c>
      <c r="G13" s="3" t="s">
        <v>61</v>
      </c>
      <c r="H13" s="14" t="n">
        <f aca="false">(E13/1000000)*Assumptions!B4 + (F13/1000000)*Assumptions!C4</f>
        <v>0.1215</v>
      </c>
    </row>
    <row r="15" customFormat="false" ht="15" hidden="false" customHeight="false" outlineLevel="0" collapsed="false">
      <c r="A15" s="12" t="s">
        <v>69</v>
      </c>
    </row>
    <row r="16" customFormat="false" ht="15" hidden="false" customHeight="false" outlineLevel="0" collapsed="false">
      <c r="A16" s="3" t="s">
        <v>70</v>
      </c>
      <c r="B16" s="9" t="n">
        <v>1</v>
      </c>
      <c r="C16" s="13" t="n">
        <v>2000</v>
      </c>
      <c r="D16" s="13" t="n">
        <v>500</v>
      </c>
      <c r="E16" s="13" t="n">
        <f aca="false">B16*C16</f>
        <v>2000</v>
      </c>
      <c r="F16" s="13" t="n">
        <f aca="false">B16*D16</f>
        <v>500</v>
      </c>
      <c r="G16" s="3" t="s">
        <v>64</v>
      </c>
      <c r="H16" s="14" t="n">
        <f aca="false">(E16/1000000)*Assumptions!B3 + (F16/1000000)*Assumptions!C3</f>
        <v>0.0045</v>
      </c>
    </row>
    <row r="17" customFormat="false" ht="15" hidden="false" customHeight="false" outlineLevel="0" collapsed="false">
      <c r="A17" s="3" t="s">
        <v>71</v>
      </c>
      <c r="B17" s="9" t="n">
        <v>5</v>
      </c>
      <c r="C17" s="13" t="n">
        <v>1500</v>
      </c>
      <c r="D17" s="13" t="n">
        <v>400</v>
      </c>
      <c r="E17" s="13" t="n">
        <f aca="false">B17*C17</f>
        <v>7500</v>
      </c>
      <c r="F17" s="13" t="n">
        <f aca="false">B17*D17</f>
        <v>2000</v>
      </c>
      <c r="G17" s="3" t="s">
        <v>64</v>
      </c>
      <c r="H17" s="14" t="n">
        <f aca="false">(E17/1000000)*Assumptions!B3 + (F17/1000000)*Assumptions!C3</f>
        <v>0.0175</v>
      </c>
    </row>
    <row r="18" customFormat="false" ht="15" hidden="false" customHeight="false" outlineLevel="0" collapsed="false">
      <c r="A18" s="3" t="s">
        <v>38</v>
      </c>
      <c r="B18" s="9" t="n">
        <v>1</v>
      </c>
      <c r="C18" s="13" t="n">
        <v>5000</v>
      </c>
      <c r="D18" s="13" t="n">
        <v>1000</v>
      </c>
      <c r="E18" s="13" t="n">
        <f aca="false">B18*C18</f>
        <v>5000</v>
      </c>
      <c r="F18" s="13" t="n">
        <f aca="false">B18*D18</f>
        <v>1000</v>
      </c>
      <c r="G18" s="3" t="s">
        <v>61</v>
      </c>
      <c r="H18" s="14" t="n">
        <f aca="false">(E18/1000000)*Assumptions!B4 + (F18/1000000)*Assumptions!C4</f>
        <v>0.03</v>
      </c>
    </row>
    <row r="19" customFormat="false" ht="15" hidden="false" customHeight="false" outlineLevel="0" collapsed="false">
      <c r="A19" s="3" t="s">
        <v>72</v>
      </c>
      <c r="B19" s="9" t="n">
        <v>3</v>
      </c>
      <c r="C19" s="13" t="n">
        <v>500</v>
      </c>
      <c r="D19" s="13" t="n">
        <v>0</v>
      </c>
      <c r="E19" s="13" t="n">
        <f aca="false">B19*C19</f>
        <v>1500</v>
      </c>
      <c r="F19" s="13" t="n">
        <f aca="false">B19*D19</f>
        <v>0</v>
      </c>
      <c r="G19" s="3" t="s">
        <v>73</v>
      </c>
      <c r="H19" s="14" t="n">
        <f aca="false">(E19/1000000)*Assumptions!B5</f>
        <v>3E-005</v>
      </c>
    </row>
    <row r="21" customFormat="false" ht="15" hidden="false" customHeight="false" outlineLevel="0" collapsed="false">
      <c r="A21" s="12" t="s">
        <v>74</v>
      </c>
    </row>
    <row r="22" customFormat="false" ht="15" hidden="false" customHeight="false" outlineLevel="0" collapsed="false">
      <c r="A22" s="3" t="s">
        <v>75</v>
      </c>
      <c r="B22" s="15" t="n">
        <f aca="false">Assumptions!B12</f>
        <v>50</v>
      </c>
      <c r="C22" s="13" t="n">
        <v>500</v>
      </c>
      <c r="D22" s="13" t="n">
        <v>0</v>
      </c>
      <c r="E22" s="13" t="n">
        <f aca="false">B22*C22</f>
        <v>25000</v>
      </c>
      <c r="F22" s="13" t="n">
        <f aca="false">B22*D22</f>
        <v>0</v>
      </c>
      <c r="G22" s="3" t="s">
        <v>73</v>
      </c>
      <c r="H22" s="14" t="n">
        <f aca="false">(E22/1000000)*Assumptions!B5</f>
        <v>0.0005</v>
      </c>
    </row>
    <row r="23" customFormat="false" ht="15" hidden="false" customHeight="false" outlineLevel="0" collapsed="false">
      <c r="A23" s="3" t="s">
        <v>76</v>
      </c>
      <c r="B23" s="9" t="n">
        <v>5</v>
      </c>
      <c r="C23" s="13" t="n">
        <v>2000</v>
      </c>
      <c r="D23" s="13" t="n">
        <v>500</v>
      </c>
      <c r="E23" s="13" t="n">
        <f aca="false">B23*C23</f>
        <v>10000</v>
      </c>
      <c r="F23" s="13" t="n">
        <f aca="false">B23*D23</f>
        <v>2500</v>
      </c>
      <c r="G23" s="3" t="s">
        <v>64</v>
      </c>
      <c r="H23" s="14" t="n">
        <f aca="false">(E23/1000000)*Assumptions!B3 + (F23/1000000)*Assumptions!C3</f>
        <v>0.0225</v>
      </c>
    </row>
    <row r="24" customFormat="false" ht="15" hidden="false" customHeight="false" outlineLevel="0" collapsed="false">
      <c r="A24" s="3" t="s">
        <v>77</v>
      </c>
      <c r="B24" s="9" t="n">
        <v>1</v>
      </c>
      <c r="C24" s="13" t="n">
        <v>4000</v>
      </c>
      <c r="D24" s="13" t="n">
        <v>800</v>
      </c>
      <c r="E24" s="13" t="n">
        <f aca="false">B24*C24</f>
        <v>4000</v>
      </c>
      <c r="F24" s="13" t="n">
        <f aca="false">B24*D24</f>
        <v>800</v>
      </c>
      <c r="G24" s="3" t="s">
        <v>61</v>
      </c>
      <c r="H24" s="14" t="n">
        <f aca="false">(E24/1000000)*Assumptions!B4 + (F24/1000000)*Assumptions!C4</f>
        <v>0.024</v>
      </c>
    </row>
    <row r="26" customFormat="false" ht="15" hidden="false" customHeight="false" outlineLevel="0" collapsed="false">
      <c r="A26" s="16" t="s">
        <v>78</v>
      </c>
      <c r="B26" s="17"/>
      <c r="C26" s="17"/>
      <c r="D26" s="17"/>
      <c r="E26" s="18" t="n">
        <f aca="false">SUM(E6:E8,E11:E13,E16:E19)</f>
        <v>150000</v>
      </c>
      <c r="F26" s="18" t="n">
        <f aca="false">SUM(F6:F8,F11:F13,F16:F19)</f>
        <v>28000</v>
      </c>
      <c r="G26" s="17"/>
      <c r="H26" s="19" t="n">
        <f aca="false">SUM(H6:H8,H11:H13,H16:H19)</f>
        <v>0.64153</v>
      </c>
    </row>
    <row r="27" customFormat="false" ht="15" hidden="false" customHeight="false" outlineLevel="0" collapsed="false">
      <c r="A27" s="16" t="s">
        <v>79</v>
      </c>
      <c r="B27" s="17"/>
      <c r="C27" s="17"/>
      <c r="D27" s="17"/>
      <c r="E27" s="18" t="n">
        <f aca="false">SUM(E22:E24)</f>
        <v>39000</v>
      </c>
      <c r="F27" s="18" t="n">
        <f aca="false">SUM(F22:F24)</f>
        <v>3300</v>
      </c>
      <c r="G27" s="17"/>
      <c r="H27" s="19" t="n">
        <f aca="false">SUM(H22:H24)</f>
        <v>0.047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18"/>
    <col collapsed="false" customWidth="true" hidden="false" outlineLevel="0" max="4" min="4" style="0" width="40"/>
  </cols>
  <sheetData>
    <row r="1" customFormat="false" ht="15" hidden="false" customHeight="false" outlineLevel="0" collapsed="false">
      <c r="A1" s="10" t="s">
        <v>80</v>
      </c>
      <c r="B1" s="10"/>
      <c r="C1" s="10"/>
      <c r="D1" s="10"/>
    </row>
    <row r="3" customFormat="false" ht="15" hidden="false" customHeight="false" outlineLevel="0" collapsed="false">
      <c r="A3" s="20" t="s">
        <v>81</v>
      </c>
      <c r="B3" s="20" t="s">
        <v>82</v>
      </c>
      <c r="C3" s="20"/>
      <c r="D3" s="20" t="s">
        <v>4</v>
      </c>
    </row>
    <row r="4" customFormat="false" ht="15" hidden="false" customHeight="false" outlineLevel="0" collapsed="false">
      <c r="A4" s="3" t="s">
        <v>83</v>
      </c>
      <c r="B4" s="21" t="n">
        <f aca="false">'Monthly Cost Model'!H26</f>
        <v>0.64153</v>
      </c>
      <c r="D4" s="5" t="s">
        <v>84</v>
      </c>
    </row>
    <row r="5" customFormat="false" ht="15" hidden="false" customHeight="false" outlineLevel="0" collapsed="false">
      <c r="A5" s="3" t="s">
        <v>17</v>
      </c>
      <c r="B5" s="22" t="n">
        <f aca="false">Assumptions!B10</f>
        <v>2.5</v>
      </c>
    </row>
    <row r="6" customFormat="false" ht="15" hidden="false" customHeight="false" outlineLevel="0" collapsed="false">
      <c r="A6" s="3" t="s">
        <v>85</v>
      </c>
      <c r="B6" s="23" t="n">
        <f aca="false">B4*B5</f>
        <v>1.603825</v>
      </c>
      <c r="D6" s="5" t="s">
        <v>86</v>
      </c>
    </row>
    <row r="7" customFormat="false" ht="15" hidden="false" customHeight="false" outlineLevel="0" collapsed="false">
      <c r="A7" s="3" t="s">
        <v>87</v>
      </c>
      <c r="B7" s="24" t="n">
        <f aca="false">B6*12</f>
        <v>19.2459</v>
      </c>
    </row>
    <row r="8" customFormat="false" ht="15" hidden="false" customHeight="false" outlineLevel="0" collapsed="false">
      <c r="A8" s="3" t="s">
        <v>88</v>
      </c>
      <c r="B8" s="21" t="n">
        <f aca="false">'Monthly Cost Model'!H27</f>
        <v>0.047</v>
      </c>
      <c r="D8" s="5" t="s">
        <v>89</v>
      </c>
    </row>
    <row r="9" customFormat="false" ht="15" hidden="false" customHeight="false" outlineLevel="0" collapsed="false">
      <c r="A9" s="3" t="s">
        <v>90</v>
      </c>
      <c r="B9" s="23" t="n">
        <f aca="false">B7+B8</f>
        <v>19.2929</v>
      </c>
    </row>
    <row r="11" customFormat="false" ht="15" hidden="false" customHeight="false" outlineLevel="0" collapsed="false">
      <c r="A11" s="10" t="s">
        <v>91</v>
      </c>
      <c r="B11" s="10"/>
      <c r="C11" s="10"/>
      <c r="D11" s="10"/>
    </row>
    <row r="12" customFormat="false" ht="15" hidden="false" customHeight="false" outlineLevel="0" collapsed="false">
      <c r="A12" s="3" t="s">
        <v>92</v>
      </c>
      <c r="B12" s="6" t="n">
        <v>0.4</v>
      </c>
      <c r="D12" s="5" t="s">
        <v>93</v>
      </c>
    </row>
    <row r="13" customFormat="false" ht="15" hidden="false" customHeight="false" outlineLevel="0" collapsed="false">
      <c r="A13" s="3" t="s">
        <v>94</v>
      </c>
      <c r="B13" s="25" t="n">
        <f aca="false">(1-B12) + B12*Assumptions!B6</f>
        <v>0.64</v>
      </c>
      <c r="D13" s="5" t="s">
        <v>95</v>
      </c>
    </row>
    <row r="14" customFormat="false" ht="15" hidden="false" customHeight="false" outlineLevel="0" collapsed="false">
      <c r="A14" s="3" t="s">
        <v>96</v>
      </c>
      <c r="B14" s="26" t="n">
        <f aca="false">B6*B13</f>
        <v>1.026448</v>
      </c>
      <c r="D14" s="5" t="s">
        <v>97</v>
      </c>
    </row>
    <row r="15" customFormat="false" ht="15" hidden="false" customHeight="false" outlineLevel="0" collapsed="false">
      <c r="A15" s="3" t="s">
        <v>98</v>
      </c>
      <c r="B15" s="27" t="n">
        <f aca="false">B14*12</f>
        <v>12.317376</v>
      </c>
    </row>
    <row r="17" customFormat="false" ht="15" hidden="false" customHeight="false" outlineLevel="0" collapsed="false">
      <c r="A17" s="10" t="s">
        <v>99</v>
      </c>
      <c r="B17" s="10"/>
      <c r="C17" s="10"/>
      <c r="D17" s="10"/>
    </row>
    <row r="18" customFormat="false" ht="15" hidden="false" customHeight="false" outlineLevel="0" collapsed="false">
      <c r="A18" s="28" t="s">
        <v>100</v>
      </c>
      <c r="B18" s="28" t="s">
        <v>101</v>
      </c>
      <c r="C18" s="28" t="s">
        <v>102</v>
      </c>
      <c r="D18" s="28" t="s">
        <v>103</v>
      </c>
    </row>
    <row r="19" customFormat="false" ht="15" hidden="false" customHeight="false" outlineLevel="0" collapsed="false">
      <c r="A19" s="3" t="s">
        <v>104</v>
      </c>
      <c r="B19" s="29" t="n">
        <f aca="false">B14</f>
        <v>1.026448</v>
      </c>
      <c r="C19" s="29" t="n">
        <f aca="false">B15</f>
        <v>12.317376</v>
      </c>
      <c r="D19" s="5" t="s">
        <v>105</v>
      </c>
    </row>
    <row r="20" customFormat="false" ht="15" hidden="false" customHeight="false" outlineLevel="0" collapsed="false">
      <c r="A20" s="3" t="s">
        <v>106</v>
      </c>
      <c r="B20" s="29" t="n">
        <f aca="false">B4*4*B13</f>
        <v>1.6423168</v>
      </c>
      <c r="C20" s="29" t="n">
        <f aca="false">B20*12</f>
        <v>19.7078016</v>
      </c>
      <c r="D20" s="5" t="s">
        <v>107</v>
      </c>
    </row>
    <row r="21" customFormat="false" ht="15" hidden="false" customHeight="false" outlineLevel="0" collapsed="false">
      <c r="A21" s="3" t="s">
        <v>108</v>
      </c>
      <c r="B21" s="29" t="n">
        <f aca="false">B20*1.2</f>
        <v>1.97078016</v>
      </c>
      <c r="C21" s="29" t="n">
        <f aca="false">B21*12</f>
        <v>23.64936192</v>
      </c>
      <c r="D21" s="5" t="s">
        <v>109</v>
      </c>
    </row>
    <row r="23" customFormat="false" ht="15" hidden="false" customHeight="false" outlineLevel="0" collapsed="false">
      <c r="A23" s="10" t="s">
        <v>110</v>
      </c>
      <c r="B23" s="10"/>
      <c r="C23" s="10"/>
      <c r="D23" s="10"/>
    </row>
    <row r="24" customFormat="false" ht="15" hidden="false" customHeight="false" outlineLevel="0" collapsed="false">
      <c r="A24" s="30" t="s">
        <v>111</v>
      </c>
    </row>
    <row r="25" customFormat="false" ht="15" hidden="false" customHeight="false" outlineLevel="0" collapsed="false">
      <c r="A25" s="31" t="s">
        <v>112</v>
      </c>
      <c r="B25" s="31"/>
      <c r="C25" s="31"/>
      <c r="D25" s="31"/>
    </row>
    <row r="26" customFormat="false" ht="15" hidden="false" customHeight="false" outlineLevel="0" collapsed="false">
      <c r="A26" s="31" t="s">
        <v>113</v>
      </c>
      <c r="B26" s="31"/>
      <c r="C26" s="31"/>
      <c r="D26" s="31"/>
    </row>
    <row r="27" customFormat="false" ht="15" hidden="false" customHeight="false" outlineLevel="0" collapsed="false">
      <c r="A27" s="31" t="s">
        <v>114</v>
      </c>
      <c r="B27" s="31"/>
      <c r="C27" s="31"/>
      <c r="D27" s="31"/>
    </row>
    <row r="28" customFormat="false" ht="15" hidden="false" customHeight="false" outlineLevel="0" collapsed="false">
      <c r="A28" s="31" t="s">
        <v>115</v>
      </c>
      <c r="B28" s="31"/>
      <c r="C28" s="31"/>
      <c r="D28" s="31"/>
    </row>
    <row r="29" customFormat="false" ht="15" hidden="false" customHeight="false" outlineLevel="0" collapsed="false">
      <c r="A29" s="31" t="s">
        <v>116</v>
      </c>
      <c r="B29" s="31"/>
      <c r="C29" s="31"/>
      <c r="D29" s="31"/>
    </row>
  </sheetData>
  <mergeCells count="9">
    <mergeCell ref="A1:D1"/>
    <mergeCell ref="A11:D11"/>
    <mergeCell ref="A17:D17"/>
    <mergeCell ref="A23:D23"/>
    <mergeCell ref="A25:D25"/>
    <mergeCell ref="A26:D26"/>
    <mergeCell ref="A27:D27"/>
    <mergeCell ref="A28:D28"/>
    <mergeCell ref="A29:D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2026-03-15T14:46:16Z</dcterms:created>
  <dc:creator>openpyxl</dc:creator>
  <dc:description/>
  <dc:language>en-US</dc:language>
  <cp:lastModifiedBy/>
  <dcterms:modified xsi:type="dcterms:W3CDTF">2026-03-15T14:46:16Z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